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ag Inventory" sheetId="2" state="visible" r:id="rId4"/>
    <sheet name="Zones" sheetId="3" state="visible" r:id="rId5"/>
    <sheet name="Antennas" sheetId="4" state="visible" r:id="rId6"/>
    <sheet name="Readers" sheetId="5" state="visible" r:id="rId7"/>
    <sheet name="RSSI Reference" sheetId="6" state="visible" r:id="rId8"/>
    <sheet name="Read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EPC = 96 bits: header 0x30 | filter 001 | partition 101 | 24-bit company prefix | 20-bit item ref | 38-bit serial. Decodes back to GTIN 00242041150003</t>
        </r>
      </text>
    </comment>
  </commentList>
</comments>
</file>

<file path=xl/sharedStrings.xml><?xml version="1.0" encoding="utf-8"?>
<sst xmlns="http://schemas.openxmlformats.org/spreadsheetml/2006/main" count="226" uniqueCount="159">
  <si>
    <t xml:space="preserve">RFID TRACKING SYSTEM — MASTER DATA</t>
  </si>
  <si>
    <t xml:space="preserve">GTIN 00242041150003  ·  paired with rfid_tracker.html dashboard</t>
  </si>
  <si>
    <t xml:space="preserve">System Summary</t>
  </si>
  <si>
    <t xml:space="preserve">Product GTIN</t>
  </si>
  <si>
    <t xml:space="preserve">00242041150003</t>
  </si>
  <si>
    <t xml:space="preserve">Company Prefix</t>
  </si>
  <si>
    <t xml:space="preserve">0242041  (7 digits, GS1 partition 5)</t>
  </si>
  <si>
    <t xml:space="preserve">EPC Encoding</t>
  </si>
  <si>
    <t xml:space="preserve">SGTIN-96 (96-bit, header 0x30, filter 1, partition 5)</t>
  </si>
  <si>
    <t xml:space="preserve">Total Tagged Items</t>
  </si>
  <si>
    <t xml:space="preserve">Zones</t>
  </si>
  <si>
    <t xml:space="preserve">Antennas</t>
  </si>
  <si>
    <t xml:space="preserve">RF Readers (Radars)</t>
  </si>
  <si>
    <t xml:space="preserve">TX Power</t>
  </si>
  <si>
    <t xml:space="preserve">30 dBm</t>
  </si>
  <si>
    <t xml:space="preserve">Frequency Band</t>
  </si>
  <si>
    <t xml:space="preserve">902–928 MHz (FCC UHF, EPC Gen2)</t>
  </si>
  <si>
    <t xml:space="preserve">Path-Loss Exponent (n)</t>
  </si>
  <si>
    <t xml:space="preserve">Reference RSSI @ 1m</t>
  </si>
  <si>
    <t xml:space="preserve">-32 dBm</t>
  </si>
  <si>
    <t xml:space="preserve">Max Read Range</t>
  </si>
  <si>
    <t xml:space="preserve">8.0 m</t>
  </si>
  <si>
    <t xml:space="preserve">Sheet Index</t>
  </si>
  <si>
    <t xml:space="preserve">Tag Inventory</t>
  </si>
  <si>
    <t xml:space="preserve">5 tags · EPC (SGTIN-96), GTIN, Serial, Color, Home Zone</t>
  </si>
  <si>
    <t xml:space="preserve">4 zones · MAC, Reader, position (m), dimensions</t>
  </si>
  <si>
    <t xml:space="preserve">4 antennas · MAC, Reader, Zone, port, position (m)</t>
  </si>
  <si>
    <t xml:space="preserve">Readers</t>
  </si>
  <si>
    <t xml:space="preserve">2 radars · MAC pool, zones served</t>
  </si>
  <si>
    <t xml:space="preserve">RSSI Reference</t>
  </si>
  <si>
    <t xml:space="preserve">Distance → expected RSSI (uses path-loss formula)</t>
  </si>
  <si>
    <t xml:space="preserve">Read Log</t>
  </si>
  <si>
    <t xml:space="preserve">Empty template matching the CSV exported from the dashboard</t>
  </si>
  <si>
    <t xml:space="preserve">Serial</t>
  </si>
  <si>
    <t xml:space="preserve">Name</t>
  </si>
  <si>
    <t xml:space="preserve">Color</t>
  </si>
  <si>
    <t xml:space="preserve">Hex</t>
  </si>
  <si>
    <t xml:space="preserve">Home Zone</t>
  </si>
  <si>
    <t xml:space="preserve">GTIN</t>
  </si>
  <si>
    <t xml:space="preserve">EPC (SGTIN-96)</t>
  </si>
  <si>
    <t xml:space="preserve">Filter</t>
  </si>
  <si>
    <t xml:space="preserve">Partition</t>
  </si>
  <si>
    <t xml:space="preserve">00001</t>
  </si>
  <si>
    <t xml:space="preserve">Blue dot</t>
  </si>
  <si>
    <t xml:space="preserve">Blue</t>
  </si>
  <si>
    <t xml:space="preserve">#60A5FA</t>
  </si>
  <si>
    <t xml:space="preserve">A</t>
  </si>
  <si>
    <t xml:space="preserve">30340EC5E40EA60000000001</t>
  </si>
  <si>
    <t xml:space="preserve">00002</t>
  </si>
  <si>
    <t xml:space="preserve">Red dot</t>
  </si>
  <si>
    <t xml:space="preserve">Red</t>
  </si>
  <si>
    <t xml:space="preserve">#F87171</t>
  </si>
  <si>
    <t xml:space="preserve">B</t>
  </si>
  <si>
    <t xml:space="preserve">30340EC5E40EA60000000002</t>
  </si>
  <si>
    <t xml:space="preserve">00003</t>
  </si>
  <si>
    <t xml:space="preserve">Yellow dot</t>
  </si>
  <si>
    <t xml:space="preserve">Yellow</t>
  </si>
  <si>
    <t xml:space="preserve">#FACC15</t>
  </si>
  <si>
    <t xml:space="preserve">C</t>
  </si>
  <si>
    <t xml:space="preserve">30340EC5E40EA60000000003</t>
  </si>
  <si>
    <t xml:space="preserve">00004</t>
  </si>
  <si>
    <t xml:space="preserve">Green dot</t>
  </si>
  <si>
    <t xml:space="preserve">Green</t>
  </si>
  <si>
    <t xml:space="preserve">#4ADE80</t>
  </si>
  <si>
    <t xml:space="preserve">D</t>
  </si>
  <si>
    <t xml:space="preserve">30340EC5E40EA60000000004</t>
  </si>
  <si>
    <t xml:space="preserve">00005</t>
  </si>
  <si>
    <t xml:space="preserve">Purple dot</t>
  </si>
  <si>
    <t xml:space="preserve">Purple</t>
  </si>
  <si>
    <t xml:space="preserve">#C084FC</t>
  </si>
  <si>
    <t xml:space="preserve">30340EC5E40EA60000000005</t>
  </si>
  <si>
    <t xml:space="preserve">Zone ID</t>
  </si>
  <si>
    <t xml:space="preserve">MAC Address</t>
  </si>
  <si>
    <t xml:space="preserve">Reader</t>
  </si>
  <si>
    <t xml:space="preserve">Origin X (m)</t>
  </si>
  <si>
    <t xml:space="preserve">Origin Y (m)</t>
  </si>
  <si>
    <t xml:space="preserve">Width (m)</t>
  </si>
  <si>
    <t xml:space="preserve">Height (m)</t>
  </si>
  <si>
    <t xml:space="preserve">Area (m²)</t>
  </si>
  <si>
    <t xml:space="preserve">Door</t>
  </si>
  <si>
    <t xml:space="preserve">16:12:D5</t>
  </si>
  <si>
    <t xml:space="preserve">Radar 1</t>
  </si>
  <si>
    <t xml:space="preserve">Conveyor</t>
  </si>
  <si>
    <t xml:space="preserve">13:A6:DF</t>
  </si>
  <si>
    <t xml:space="preserve">Front North</t>
  </si>
  <si>
    <t xml:space="preserve">13:A6:48</t>
  </si>
  <si>
    <t xml:space="preserve">Radar 2</t>
  </si>
  <si>
    <t xml:space="preserve">Back South</t>
  </si>
  <si>
    <t xml:space="preserve">Antenna ID</t>
  </si>
  <si>
    <t xml:space="preserve">Zone</t>
  </si>
  <si>
    <t xml:space="preserve">Port</t>
  </si>
  <si>
    <t xml:space="preserve">Position X (m)</t>
  </si>
  <si>
    <t xml:space="preserve">Position Y (m)</t>
  </si>
  <si>
    <t xml:space="preserve">TX Power (dBm)</t>
  </si>
  <si>
    <t xml:space="preserve">Polarization</t>
  </si>
  <si>
    <t xml:space="preserve">ANT-01</t>
  </si>
  <si>
    <t xml:space="preserve">Circular</t>
  </si>
  <si>
    <t xml:space="preserve">ANT-02</t>
  </si>
  <si>
    <t xml:space="preserve">ANT-03</t>
  </si>
  <si>
    <t xml:space="preserve">ANT-04</t>
  </si>
  <si>
    <t xml:space="preserve">Reader ID</t>
  </si>
  <si>
    <t xml:space="preserve">MAC Pool</t>
  </si>
  <si>
    <t xml:space="preserve">Zones Served</t>
  </si>
  <si>
    <t xml:space="preserve">Antenna Count</t>
  </si>
  <si>
    <t xml:space="preserve">Frequency</t>
  </si>
  <si>
    <t xml:space="preserve">Protocol</t>
  </si>
  <si>
    <t xml:space="preserve">R1</t>
  </si>
  <si>
    <t xml:space="preserve">16:12:D5, 13:A6:DF</t>
  </si>
  <si>
    <t xml:space="preserve">A, B</t>
  </si>
  <si>
    <t xml:space="preserve">902–928 MHz</t>
  </si>
  <si>
    <t xml:space="preserve">EPC Class-1 Gen-2 (ISO 18000-63)</t>
  </si>
  <si>
    <t xml:space="preserve">R2</t>
  </si>
  <si>
    <t xml:space="preserve">C, D</t>
  </si>
  <si>
    <t xml:space="preserve">RSSI vs. Distance (log-distance path-loss model)</t>
  </si>
  <si>
    <t xml:space="preserve">RSSI(dBm) = RSSI_REF − 10·n·log10(d / 1m)   ·   N(0, σ²) noise</t>
  </si>
  <si>
    <t xml:space="preserve">Parameter</t>
  </si>
  <si>
    <t xml:space="preserve">Value</t>
  </si>
  <si>
    <t xml:space="preserve">RSSI_REF (dBm @ 1m)</t>
  </si>
  <si>
    <t xml:space="preserve">Path-Loss Exponent n</t>
  </si>
  <si>
    <t xml:space="preserve">Read Range (m)</t>
  </si>
  <si>
    <t xml:space="preserve">Noise σ (dB)</t>
  </si>
  <si>
    <t xml:space="preserve">Distance (m)</t>
  </si>
  <si>
    <t xml:space="preserve">Expected RSSI (dBm)</t>
  </si>
  <si>
    <t xml:space="preserve">Signal Quality</t>
  </si>
  <si>
    <t xml:space="preserve">In Range?</t>
  </si>
  <si>
    <t xml:space="preserve">Interactive RSSI Calculator</t>
  </si>
  <si>
    <t xml:space="preserve">Enter distance (m):</t>
  </si>
  <si>
    <t xml:space="preserve">→ Expected RSSI (dBm):</t>
  </si>
  <si>
    <t xml:space="preserve">→ Quality:</t>
  </si>
  <si>
    <t xml:space="preserve">timestamp_iso</t>
  </si>
  <si>
    <t xml:space="preserve">local_time</t>
  </si>
  <si>
    <t xml:space="preserve">event</t>
  </si>
  <si>
    <t xml:space="preserve">mac</t>
  </si>
  <si>
    <t xml:space="preserve">reader</t>
  </si>
  <si>
    <t xml:space="preserve">antenna</t>
  </si>
  <si>
    <t xml:space="preserve">epc</t>
  </si>
  <si>
    <t xml:space="preserve">gtin</t>
  </si>
  <si>
    <t xml:space="preserve">serial</t>
  </si>
  <si>
    <t xml:space="preserve">tag_name</t>
  </si>
  <si>
    <t xml:space="preserve">zone</t>
  </si>
  <si>
    <t xml:space="preserve">rssi_dbm</t>
  </si>
  <si>
    <t xml:space="preserve">Quick Stats (auto-updates as you paste data below)</t>
  </si>
  <si>
    <t xml:space="preserve">— paste CSV export from the dashboard here —</t>
  </si>
  <si>
    <t xml:space="preserve">Total events</t>
  </si>
  <si>
    <t xml:space="preserve">2026-05-14T20:00:01.123Z</t>
  </si>
  <si>
    <t xml:space="preserve">20:00:01.123</t>
  </si>
  <si>
    <t xml:space="preserve">READ</t>
  </si>
  <si>
    <t xml:space="preserve">READ events</t>
  </si>
  <si>
    <t xml:space="preserve">2026-05-14T20:00:01.456Z</t>
  </si>
  <si>
    <t xml:space="preserve">20:00:01.456</t>
  </si>
  <si>
    <t xml:space="preserve">ENTER events</t>
  </si>
  <si>
    <t xml:space="preserve">2026-05-14T20:00:01.789Z</t>
  </si>
  <si>
    <t xml:space="preserve">20:00:01.789</t>
  </si>
  <si>
    <t xml:space="preserve">ENTER</t>
  </si>
  <si>
    <t xml:space="preserve">EXIT events</t>
  </si>
  <si>
    <t xml:space="preserve">Unique EPCs</t>
  </si>
  <si>
    <t xml:space="preserve">Avg RSSI</t>
  </si>
  <si>
    <t xml:space="preserve">Min RSSI</t>
  </si>
  <si>
    <t xml:space="preserve">Max RSSI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</si>
</sst>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1116"/>
      <name val="Arial"/>
      <family val="0"/>
      <charset val="1"/>
    </font>
    <font>
      <i val="true"/>
      <sz val="10"/>
      <color rgb="FF6B7177"/>
      <name val="Arial"/>
      <family val="0"/>
      <charset val="1"/>
    </font>
    <font>
      <b val="true"/>
      <sz val="12"/>
      <color rgb="FF0D11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F2937"/>
      <name val="Consolas"/>
      <family val="0"/>
      <charset val="1"/>
    </font>
    <font>
      <b val="true"/>
      <sz val="10"/>
      <color rgb="FF00CC82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00FFA3"/>
      <name val="Arial"/>
      <family val="0"/>
      <charset val="1"/>
    </font>
    <font>
      <b val="true"/>
      <sz val="10"/>
      <color rgb="FF0D1116"/>
      <name val="Consolas"/>
      <family val="0"/>
      <charset val="1"/>
    </font>
    <font>
      <sz val="10"/>
      <name val="Arial"/>
      <family val="2"/>
    </font>
    <font>
      <sz val="10"/>
      <color rgb="FF00CC82"/>
      <name val="Consolas"/>
      <family val="0"/>
      <charset val="1"/>
    </font>
    <font>
      <b val="true"/>
      <sz val="11"/>
      <color rgb="FF00CC82"/>
      <name val="Consolas"/>
      <family val="0"/>
      <charset val="1"/>
    </font>
    <font>
      <b val="true"/>
      <sz val="11"/>
      <color rgb="FF0D111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116"/>
        <bgColor rgb="FF000000"/>
      </patternFill>
    </fill>
    <fill>
      <patternFill patternType="solid">
        <fgColor rgb="FFF8FAFC"/>
        <bgColor rgb="FFFEF3C7"/>
      </patternFill>
    </fill>
    <fill>
      <patternFill patternType="solid">
        <fgColor rgb="FF60A5FA"/>
        <bgColor rgb="FF99CCFF"/>
      </patternFill>
    </fill>
    <fill>
      <patternFill patternType="solid">
        <fgColor rgb="FFF87171"/>
        <bgColor rgb="FFFF6600"/>
      </patternFill>
    </fill>
    <fill>
      <patternFill patternType="solid">
        <fgColor rgb="FFFACC15"/>
        <bgColor rgb="FFFFFF00"/>
      </patternFill>
    </fill>
    <fill>
      <patternFill patternType="solid">
        <fgColor rgb="FF4ADE80"/>
        <bgColor rgb="FF00CC82"/>
      </patternFill>
    </fill>
    <fill>
      <patternFill patternType="solid">
        <fgColor rgb="FFC084FC"/>
        <bgColor rgb="FFFF99CC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A3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0A5FA"/>
      <rgbColor rgb="FF993366"/>
      <rgbColor rgb="FFFEF3C7"/>
      <rgbColor rgb="FFCCFFFF"/>
      <rgbColor rgb="FF660066"/>
      <rgbColor rgb="FFF87171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82"/>
      <rgbColor rgb="FFCCFFFF"/>
      <rgbColor rgb="FFCCFFCC"/>
      <rgbColor rgb="FFFFFF99"/>
      <rgbColor rgb="FF99CCFF"/>
      <rgbColor rgb="FFFF99CC"/>
      <rgbColor rgb="FFC084FC"/>
      <rgbColor rgb="FFFFCC99"/>
      <rgbColor rgb="FF3366FF"/>
      <rgbColor rgb="FF4ADE80"/>
      <rgbColor rgb="FF99CC00"/>
      <rgbColor rgb="FFFACC15"/>
      <rgbColor rgb="FFFF9900"/>
      <rgbColor rgb="FFFF6600"/>
      <rgbColor rgb="FF6B7177"/>
      <rgbColor rgb="FF969696"/>
      <rgbColor rgb="FF003366"/>
      <rgbColor rgb="FF339966"/>
      <rgbColor rgb="FF0D1116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5" min="3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  <c r="B6" s="5" t="s">
        <v>4</v>
      </c>
    </row>
    <row r="7" customFormat="false" ht="15" hidden="false" customHeight="false" outlineLevel="0" collapsed="false">
      <c r="A7" s="4" t="s">
        <v>5</v>
      </c>
      <c r="B7" s="5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5" t="n">
        <f aca="false">COUNTA('Tag Inventory'!A2:A1000)</f>
        <v>5</v>
      </c>
    </row>
    <row r="10" customFormat="false" ht="15" hidden="false" customHeight="false" outlineLevel="0" collapsed="false">
      <c r="A10" s="4" t="s">
        <v>10</v>
      </c>
      <c r="B10" s="5" t="n">
        <f aca="false">COUNTA(Zones!A2:A1000)</f>
        <v>4</v>
      </c>
    </row>
    <row r="11" customFormat="false" ht="15" hidden="false" customHeight="false" outlineLevel="0" collapsed="false">
      <c r="A11" s="4" t="s">
        <v>11</v>
      </c>
      <c r="B11" s="5" t="n">
        <f aca="false">COUNTA(Antennas!A2:A1000)</f>
        <v>4</v>
      </c>
    </row>
    <row r="12" customFormat="false" ht="15" hidden="false" customHeight="false" outlineLevel="0" collapsed="false">
      <c r="A12" s="4" t="s">
        <v>12</v>
      </c>
      <c r="B12" s="5" t="n">
        <f aca="false">COUNTA(Readers!A2:A1000)</f>
        <v>2</v>
      </c>
    </row>
    <row r="13" customFormat="false" ht="15" hidden="false" customHeight="false" outlineLevel="0" collapsed="false">
      <c r="A13" s="4" t="s">
        <v>13</v>
      </c>
      <c r="B13" s="5" t="s">
        <v>14</v>
      </c>
    </row>
    <row r="14" customFormat="false" ht="15" hidden="false" customHeight="false" outlineLevel="0" collapsed="false">
      <c r="A14" s="4" t="s">
        <v>15</v>
      </c>
      <c r="B14" s="5" t="s">
        <v>16</v>
      </c>
    </row>
    <row r="15" customFormat="false" ht="15" hidden="false" customHeight="false" outlineLevel="0" collapsed="false">
      <c r="A15" s="4" t="s">
        <v>17</v>
      </c>
      <c r="B15" s="5" t="n">
        <v>2.4</v>
      </c>
    </row>
    <row r="16" customFormat="false" ht="15" hidden="false" customHeight="false" outlineLevel="0" collapsed="false">
      <c r="A16" s="4" t="s">
        <v>18</v>
      </c>
      <c r="B16" s="5" t="s">
        <v>19</v>
      </c>
    </row>
    <row r="17" customFormat="false" ht="15" hidden="false" customHeight="false" outlineLevel="0" collapsed="false">
      <c r="A17" s="4" t="s">
        <v>20</v>
      </c>
      <c r="B17" s="5" t="s">
        <v>21</v>
      </c>
    </row>
    <row r="20" customFormat="false" ht="15" hidden="false" customHeight="false" outlineLevel="0" collapsed="false">
      <c r="A20" s="3" t="s">
        <v>22</v>
      </c>
    </row>
    <row r="22" customFormat="false" ht="15" hidden="false" customHeight="false" outlineLevel="0" collapsed="false">
      <c r="A22" s="6" t="s">
        <v>23</v>
      </c>
      <c r="B22" s="7" t="s">
        <v>24</v>
      </c>
    </row>
    <row r="23" customFormat="false" ht="15" hidden="false" customHeight="false" outlineLevel="0" collapsed="false">
      <c r="A23" s="6" t="s">
        <v>10</v>
      </c>
      <c r="B23" s="7" t="s">
        <v>25</v>
      </c>
    </row>
    <row r="24" customFormat="false" ht="15" hidden="false" customHeight="false" outlineLevel="0" collapsed="false">
      <c r="A24" s="6" t="s">
        <v>11</v>
      </c>
      <c r="B24" s="7" t="s">
        <v>26</v>
      </c>
    </row>
    <row r="25" customFormat="false" ht="15" hidden="false" customHeight="false" outlineLevel="0" collapsed="false">
      <c r="A25" s="6" t="s">
        <v>27</v>
      </c>
      <c r="B25" s="7" t="s">
        <v>28</v>
      </c>
    </row>
    <row r="26" customFormat="false" ht="15" hidden="false" customHeight="false" outlineLevel="0" collapsed="false">
      <c r="A26" s="6" t="s">
        <v>29</v>
      </c>
      <c r="B26" s="7" t="s">
        <v>30</v>
      </c>
    </row>
    <row r="27" customFormat="false" ht="15" hidden="false" customHeight="false" outlineLevel="0" collapsed="false">
      <c r="A27" s="6" t="s">
        <v>31</v>
      </c>
      <c r="B27" s="7" t="s">
        <v>32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10"/>
  </cols>
  <sheetData>
    <row r="1" customFormat="false" ht="21.75" hidden="false" customHeight="true" outlineLevel="0" collapsed="false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</row>
    <row r="2" customFormat="false" ht="15" hidden="false" customHeight="false" outlineLevel="0" collapsed="false">
      <c r="A2" s="9" t="s">
        <v>42</v>
      </c>
      <c r="B2" s="10" t="s">
        <v>43</v>
      </c>
      <c r="C2" s="10" t="s">
        <v>44</v>
      </c>
      <c r="D2" s="11" t="s">
        <v>45</v>
      </c>
      <c r="E2" s="10" t="s">
        <v>46</v>
      </c>
      <c r="F2" s="9" t="s">
        <v>4</v>
      </c>
      <c r="G2" s="9" t="s">
        <v>47</v>
      </c>
      <c r="H2" s="10" t="n">
        <v>1</v>
      </c>
      <c r="I2" s="10" t="n">
        <v>5</v>
      </c>
    </row>
    <row r="3" customFormat="false" ht="15" hidden="false" customHeight="false" outlineLevel="0" collapsed="false">
      <c r="A3" s="12" t="s">
        <v>48</v>
      </c>
      <c r="B3" s="13" t="s">
        <v>49</v>
      </c>
      <c r="C3" s="13" t="s">
        <v>50</v>
      </c>
      <c r="D3" s="14" t="s">
        <v>51</v>
      </c>
      <c r="E3" s="13" t="s">
        <v>52</v>
      </c>
      <c r="F3" s="12" t="s">
        <v>4</v>
      </c>
      <c r="G3" s="12" t="s">
        <v>53</v>
      </c>
      <c r="H3" s="13" t="n">
        <v>1</v>
      </c>
      <c r="I3" s="13" t="n">
        <v>5</v>
      </c>
    </row>
    <row r="4" customFormat="false" ht="15" hidden="false" customHeight="false" outlineLevel="0" collapsed="false">
      <c r="A4" s="9" t="s">
        <v>54</v>
      </c>
      <c r="B4" s="10" t="s">
        <v>55</v>
      </c>
      <c r="C4" s="10" t="s">
        <v>56</v>
      </c>
      <c r="D4" s="15" t="s">
        <v>57</v>
      </c>
      <c r="E4" s="10" t="s">
        <v>58</v>
      </c>
      <c r="F4" s="9" t="s">
        <v>4</v>
      </c>
      <c r="G4" s="9" t="s">
        <v>59</v>
      </c>
      <c r="H4" s="10" t="n">
        <v>1</v>
      </c>
      <c r="I4" s="10" t="n">
        <v>5</v>
      </c>
    </row>
    <row r="5" customFormat="false" ht="15" hidden="false" customHeight="false" outlineLevel="0" collapsed="false">
      <c r="A5" s="12" t="s">
        <v>60</v>
      </c>
      <c r="B5" s="13" t="s">
        <v>61</v>
      </c>
      <c r="C5" s="13" t="s">
        <v>62</v>
      </c>
      <c r="D5" s="16" t="s">
        <v>63</v>
      </c>
      <c r="E5" s="13" t="s">
        <v>64</v>
      </c>
      <c r="F5" s="12" t="s">
        <v>4</v>
      </c>
      <c r="G5" s="12" t="s">
        <v>65</v>
      </c>
      <c r="H5" s="13" t="n">
        <v>1</v>
      </c>
      <c r="I5" s="13" t="n">
        <v>5</v>
      </c>
    </row>
    <row r="6" customFormat="false" ht="15" hidden="false" customHeight="false" outlineLevel="0" collapsed="false">
      <c r="A6" s="9" t="s">
        <v>66</v>
      </c>
      <c r="B6" s="10" t="s">
        <v>67</v>
      </c>
      <c r="C6" s="10" t="s">
        <v>68</v>
      </c>
      <c r="D6" s="17" t="s">
        <v>69</v>
      </c>
      <c r="E6" s="10" t="s">
        <v>46</v>
      </c>
      <c r="F6" s="9" t="s">
        <v>4</v>
      </c>
      <c r="G6" s="9" t="s">
        <v>70</v>
      </c>
      <c r="H6" s="10" t="n">
        <v>1</v>
      </c>
      <c r="I6" s="1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9" min="8" style="0" width="12"/>
  </cols>
  <sheetData>
    <row r="1" customFormat="false" ht="21.75" hidden="false" customHeight="true" outlineLevel="0" collapsed="false">
      <c r="A1" s="8" t="s">
        <v>71</v>
      </c>
      <c r="B1" s="8" t="s">
        <v>34</v>
      </c>
      <c r="C1" s="8" t="s">
        <v>72</v>
      </c>
      <c r="D1" s="8" t="s">
        <v>73</v>
      </c>
      <c r="E1" s="8" t="s">
        <v>74</v>
      </c>
      <c r="F1" s="8" t="s">
        <v>75</v>
      </c>
      <c r="G1" s="8" t="s">
        <v>76</v>
      </c>
      <c r="H1" s="8" t="s">
        <v>77</v>
      </c>
      <c r="I1" s="8" t="s">
        <v>78</v>
      </c>
    </row>
    <row r="2" customFormat="false" ht="15" hidden="false" customHeight="false" outlineLevel="0" collapsed="false">
      <c r="A2" s="9" t="s">
        <v>46</v>
      </c>
      <c r="B2" s="10" t="s">
        <v>79</v>
      </c>
      <c r="C2" s="9" t="s">
        <v>80</v>
      </c>
      <c r="D2" s="9" t="s">
        <v>81</v>
      </c>
      <c r="E2" s="18" t="n">
        <v>1.5</v>
      </c>
      <c r="F2" s="18" t="n">
        <v>2</v>
      </c>
      <c r="G2" s="18" t="n">
        <v>5</v>
      </c>
      <c r="H2" s="18" t="n">
        <v>3.25</v>
      </c>
      <c r="I2" s="19" t="n">
        <f aca="false">G2*H2</f>
        <v>16.25</v>
      </c>
    </row>
    <row r="3" customFormat="false" ht="15" hidden="false" customHeight="false" outlineLevel="0" collapsed="false">
      <c r="A3" s="12" t="s">
        <v>52</v>
      </c>
      <c r="B3" s="13" t="s">
        <v>82</v>
      </c>
      <c r="C3" s="12" t="s">
        <v>83</v>
      </c>
      <c r="D3" s="12" t="s">
        <v>81</v>
      </c>
      <c r="E3" s="20" t="n">
        <v>8</v>
      </c>
      <c r="F3" s="20" t="n">
        <v>5.5</v>
      </c>
      <c r="G3" s="20" t="n">
        <v>3.5</v>
      </c>
      <c r="H3" s="20" t="n">
        <v>2.5</v>
      </c>
      <c r="I3" s="21" t="n">
        <f aca="false">G3*H3</f>
        <v>8.75</v>
      </c>
    </row>
    <row r="4" customFormat="false" ht="15" hidden="false" customHeight="false" outlineLevel="0" collapsed="false">
      <c r="A4" s="9" t="s">
        <v>58</v>
      </c>
      <c r="B4" s="10" t="s">
        <v>84</v>
      </c>
      <c r="C4" s="9" t="s">
        <v>85</v>
      </c>
      <c r="D4" s="9" t="s">
        <v>86</v>
      </c>
      <c r="E4" s="18" t="n">
        <v>12.5</v>
      </c>
      <c r="F4" s="18" t="n">
        <v>4.5</v>
      </c>
      <c r="G4" s="18" t="n">
        <v>5</v>
      </c>
      <c r="H4" s="18" t="n">
        <v>4</v>
      </c>
      <c r="I4" s="19" t="n">
        <f aca="false">G4*H4</f>
        <v>20</v>
      </c>
    </row>
    <row r="5" customFormat="false" ht="15" hidden="false" customHeight="false" outlineLevel="0" collapsed="false">
      <c r="A5" s="12" t="s">
        <v>64</v>
      </c>
      <c r="B5" s="13" t="s">
        <v>87</v>
      </c>
      <c r="C5" s="12" t="s">
        <v>85</v>
      </c>
      <c r="D5" s="12" t="s">
        <v>86</v>
      </c>
      <c r="E5" s="20" t="n">
        <v>3</v>
      </c>
      <c r="F5" s="20" t="n">
        <v>10</v>
      </c>
      <c r="G5" s="20" t="n">
        <v>6</v>
      </c>
      <c r="H5" s="20" t="n">
        <v>3.5</v>
      </c>
      <c r="I5" s="21" t="n">
        <f aca="false">G5*H5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8" min="6" style="0" width="14"/>
    <col collapsed="false" customWidth="true" hidden="false" outlineLevel="0" max="9" min="9" style="0" width="13"/>
  </cols>
  <sheetData>
    <row r="1" customFormat="false" ht="21.75" hidden="false" customHeight="true" outlineLevel="0" collapsed="false">
      <c r="A1" s="8" t="s">
        <v>88</v>
      </c>
      <c r="B1" s="8" t="s">
        <v>72</v>
      </c>
      <c r="C1" s="8" t="s">
        <v>73</v>
      </c>
      <c r="D1" s="8" t="s">
        <v>89</v>
      </c>
      <c r="E1" s="8" t="s">
        <v>90</v>
      </c>
      <c r="F1" s="8" t="s">
        <v>91</v>
      </c>
      <c r="G1" s="8" t="s">
        <v>92</v>
      </c>
      <c r="H1" s="8" t="s">
        <v>93</v>
      </c>
      <c r="I1" s="8" t="s">
        <v>94</v>
      </c>
    </row>
    <row r="2" customFormat="false" ht="15" hidden="false" customHeight="false" outlineLevel="0" collapsed="false">
      <c r="A2" s="9" t="s">
        <v>95</v>
      </c>
      <c r="B2" s="9" t="s">
        <v>80</v>
      </c>
      <c r="C2" s="9" t="s">
        <v>81</v>
      </c>
      <c r="D2" s="9" t="s">
        <v>46</v>
      </c>
      <c r="E2" s="10" t="n">
        <v>1</v>
      </c>
      <c r="F2" s="18" t="n">
        <v>4</v>
      </c>
      <c r="G2" s="18" t="n">
        <v>3.6</v>
      </c>
      <c r="H2" s="10" t="n">
        <v>30</v>
      </c>
      <c r="I2" s="10" t="s">
        <v>96</v>
      </c>
    </row>
    <row r="3" customFormat="false" ht="15" hidden="false" customHeight="false" outlineLevel="0" collapsed="false">
      <c r="A3" s="12" t="s">
        <v>97</v>
      </c>
      <c r="B3" s="12" t="s">
        <v>83</v>
      </c>
      <c r="C3" s="12" t="s">
        <v>81</v>
      </c>
      <c r="D3" s="12" t="s">
        <v>52</v>
      </c>
      <c r="E3" s="13" t="n">
        <v>2</v>
      </c>
      <c r="F3" s="20" t="n">
        <v>9.75</v>
      </c>
      <c r="G3" s="20" t="n">
        <v>6.75</v>
      </c>
      <c r="H3" s="13" t="n">
        <v>30</v>
      </c>
      <c r="I3" s="13" t="s">
        <v>96</v>
      </c>
    </row>
    <row r="4" customFormat="false" ht="15" hidden="false" customHeight="false" outlineLevel="0" collapsed="false">
      <c r="A4" s="9" t="s">
        <v>98</v>
      </c>
      <c r="B4" s="9" t="s">
        <v>85</v>
      </c>
      <c r="C4" s="9" t="s">
        <v>86</v>
      </c>
      <c r="D4" s="9" t="s">
        <v>58</v>
      </c>
      <c r="E4" s="10" t="n">
        <v>1</v>
      </c>
      <c r="F4" s="18" t="n">
        <v>15</v>
      </c>
      <c r="G4" s="18" t="n">
        <v>6.5</v>
      </c>
      <c r="H4" s="10" t="n">
        <v>30</v>
      </c>
      <c r="I4" s="10" t="s">
        <v>96</v>
      </c>
    </row>
    <row r="5" customFormat="false" ht="15" hidden="false" customHeight="false" outlineLevel="0" collapsed="false">
      <c r="A5" s="12" t="s">
        <v>99</v>
      </c>
      <c r="B5" s="12" t="s">
        <v>85</v>
      </c>
      <c r="C5" s="12" t="s">
        <v>86</v>
      </c>
      <c r="D5" s="12" t="s">
        <v>64</v>
      </c>
      <c r="E5" s="13" t="n">
        <v>2</v>
      </c>
      <c r="F5" s="20" t="n">
        <v>6</v>
      </c>
      <c r="G5" s="20" t="n">
        <v>11.75</v>
      </c>
      <c r="H5" s="13" t="n">
        <v>30</v>
      </c>
      <c r="I5" s="13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32"/>
  </cols>
  <sheetData>
    <row r="1" customFormat="false" ht="21.75" hidden="false" customHeight="true" outlineLevel="0" collapsed="false">
      <c r="A1" s="8" t="s">
        <v>100</v>
      </c>
      <c r="B1" s="8" t="s">
        <v>34</v>
      </c>
      <c r="C1" s="8" t="s">
        <v>101</v>
      </c>
      <c r="D1" s="8" t="s">
        <v>102</v>
      </c>
      <c r="E1" s="8" t="s">
        <v>103</v>
      </c>
      <c r="F1" s="8" t="s">
        <v>13</v>
      </c>
      <c r="G1" s="8" t="s">
        <v>104</v>
      </c>
      <c r="H1" s="8" t="s">
        <v>105</v>
      </c>
    </row>
    <row r="2" customFormat="false" ht="15" hidden="false" customHeight="false" outlineLevel="0" collapsed="false">
      <c r="A2" s="9" t="s">
        <v>106</v>
      </c>
      <c r="B2" s="10" t="s">
        <v>81</v>
      </c>
      <c r="C2" s="9" t="s">
        <v>107</v>
      </c>
      <c r="D2" s="10" t="s">
        <v>108</v>
      </c>
      <c r="E2" s="22" t="n">
        <f aca="false">COUNTIF(Antennas!C:C, B2)</f>
        <v>2</v>
      </c>
      <c r="F2" s="10" t="s">
        <v>14</v>
      </c>
      <c r="G2" s="10" t="s">
        <v>109</v>
      </c>
      <c r="H2" s="10" t="s">
        <v>110</v>
      </c>
    </row>
    <row r="3" customFormat="false" ht="15" hidden="false" customHeight="false" outlineLevel="0" collapsed="false">
      <c r="A3" s="12" t="s">
        <v>111</v>
      </c>
      <c r="B3" s="13" t="s">
        <v>86</v>
      </c>
      <c r="C3" s="12" t="s">
        <v>85</v>
      </c>
      <c r="D3" s="13" t="s">
        <v>112</v>
      </c>
      <c r="E3" s="23" t="n">
        <f aca="false">COUNTIF(Antennas!C:C, B3)</f>
        <v>2</v>
      </c>
      <c r="F3" s="13" t="s">
        <v>14</v>
      </c>
      <c r="G3" s="13" t="s">
        <v>109</v>
      </c>
      <c r="H3" s="13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24" t="s">
        <v>113</v>
      </c>
      <c r="B1" s="24"/>
      <c r="C1" s="24"/>
      <c r="D1" s="24"/>
      <c r="E1" s="24"/>
    </row>
    <row r="2" customFormat="false" ht="15" hidden="false" customHeight="false" outlineLevel="0" collapsed="false">
      <c r="A2" s="2" t="s">
        <v>114</v>
      </c>
      <c r="B2" s="2"/>
      <c r="C2" s="2"/>
      <c r="D2" s="2"/>
      <c r="E2" s="2"/>
    </row>
    <row r="4" customFormat="false" ht="15" hidden="false" customHeight="false" outlineLevel="0" collapsed="false">
      <c r="A4" s="25" t="s">
        <v>115</v>
      </c>
      <c r="B4" s="25" t="s">
        <v>116</v>
      </c>
    </row>
    <row r="5" customFormat="false" ht="15" hidden="false" customHeight="false" outlineLevel="0" collapsed="false">
      <c r="A5" s="7" t="s">
        <v>117</v>
      </c>
      <c r="B5" s="26" t="n">
        <v>-32</v>
      </c>
    </row>
    <row r="6" customFormat="false" ht="15" hidden="false" customHeight="false" outlineLevel="0" collapsed="false">
      <c r="A6" s="7" t="s">
        <v>118</v>
      </c>
      <c r="B6" s="26" t="n">
        <v>2.4</v>
      </c>
    </row>
    <row r="7" customFormat="false" ht="15" hidden="false" customHeight="false" outlineLevel="0" collapsed="false">
      <c r="A7" s="7" t="s">
        <v>119</v>
      </c>
      <c r="B7" s="26" t="n">
        <v>8</v>
      </c>
    </row>
    <row r="8" customFormat="false" ht="15" hidden="false" customHeight="false" outlineLevel="0" collapsed="false">
      <c r="A8" s="7" t="s">
        <v>120</v>
      </c>
      <c r="B8" s="26" t="n">
        <v>1.5</v>
      </c>
    </row>
    <row r="10" customFormat="false" ht="21.75" hidden="false" customHeight="true" outlineLevel="0" collapsed="false">
      <c r="A10" s="8" t="s">
        <v>121</v>
      </c>
      <c r="B10" s="8" t="s">
        <v>122</v>
      </c>
      <c r="C10" s="8" t="s">
        <v>123</v>
      </c>
      <c r="D10" s="8" t="s">
        <v>124</v>
      </c>
    </row>
    <row r="11" customFormat="false" ht="15" hidden="false" customHeight="false" outlineLevel="0" collapsed="false">
      <c r="A11" s="27" t="n">
        <v>0.5</v>
      </c>
      <c r="B11" s="28" t="n">
        <f aca="false">$B$5-10*$B$6*LOG10(MAX(A11,0.3))</f>
        <v>-24.7752801040645</v>
      </c>
      <c r="C11" s="13" t="str">
        <f aca="false">IF(B11&gt;-50,"Strong",IF(B11&gt;-65,"Medium",IF(B11&gt;-80,"Weak","No Read")))</f>
        <v>Strong</v>
      </c>
      <c r="D11" s="13" t="str">
        <f aca="false">IF(A11&lt;=$B$7,"YES","NO")</f>
        <v>YES</v>
      </c>
    </row>
    <row r="12" customFormat="false" ht="15" hidden="false" customHeight="false" outlineLevel="0" collapsed="false">
      <c r="A12" s="29" t="n">
        <v>1</v>
      </c>
      <c r="B12" s="30" t="n">
        <f aca="false">$B$5-10*$B$6*LOG10(MAX(A12,0.3))</f>
        <v>-32</v>
      </c>
      <c r="C12" s="10" t="str">
        <f aca="false">IF(B12&gt;-50,"Strong",IF(B12&gt;-65,"Medium",IF(B12&gt;-80,"Weak","No Read")))</f>
        <v>Strong</v>
      </c>
      <c r="D12" s="10" t="str">
        <f aca="false">IF(A12&lt;=$B$7,"YES","NO")</f>
        <v>YES</v>
      </c>
    </row>
    <row r="13" customFormat="false" ht="15" hidden="false" customHeight="false" outlineLevel="0" collapsed="false">
      <c r="A13" s="27" t="n">
        <v>1.5</v>
      </c>
      <c r="B13" s="28" t="n">
        <f aca="false">$B$5-10*$B$6*LOG10(MAX(A13,0.3))</f>
        <v>-36.2261902173364</v>
      </c>
      <c r="C13" s="13" t="str">
        <f aca="false">IF(B13&gt;-50,"Strong",IF(B13&gt;-65,"Medium",IF(B13&gt;-80,"Weak","No Read")))</f>
        <v>Strong</v>
      </c>
      <c r="D13" s="13" t="str">
        <f aca="false">IF(A13&lt;=$B$7,"YES","NO")</f>
        <v>YES</v>
      </c>
    </row>
    <row r="14" customFormat="false" ht="15" hidden="false" customHeight="false" outlineLevel="0" collapsed="false">
      <c r="A14" s="29" t="n">
        <v>2</v>
      </c>
      <c r="B14" s="30" t="n">
        <f aca="false">$B$5-10*$B$6*LOG10(MAX(A14,0.3))</f>
        <v>-39.2247198959356</v>
      </c>
      <c r="C14" s="10" t="str">
        <f aca="false">IF(B14&gt;-50,"Strong",IF(B14&gt;-65,"Medium",IF(B14&gt;-80,"Weak","No Read")))</f>
        <v>Strong</v>
      </c>
      <c r="D14" s="10" t="str">
        <f aca="false">IF(A14&lt;=$B$7,"YES","NO")</f>
        <v>YES</v>
      </c>
    </row>
    <row r="15" customFormat="false" ht="15" hidden="false" customHeight="false" outlineLevel="0" collapsed="false">
      <c r="A15" s="27" t="n">
        <v>2.5</v>
      </c>
      <c r="B15" s="28" t="n">
        <f aca="false">$B$5-10*$B$6*LOG10(MAX(A15,0.3))</f>
        <v>-41.5505602081289</v>
      </c>
      <c r="C15" s="13" t="str">
        <f aca="false">IF(B15&gt;-50,"Strong",IF(B15&gt;-65,"Medium",IF(B15&gt;-80,"Weak","No Read")))</f>
        <v>Strong</v>
      </c>
      <c r="D15" s="13" t="str">
        <f aca="false">IF(A15&lt;=$B$7,"YES","NO")</f>
        <v>YES</v>
      </c>
    </row>
    <row r="16" customFormat="false" ht="15" hidden="false" customHeight="false" outlineLevel="0" collapsed="false">
      <c r="A16" s="29" t="n">
        <v>3</v>
      </c>
      <c r="B16" s="30" t="n">
        <f aca="false">$B$5-10*$B$6*LOG10(MAX(A16,0.3))</f>
        <v>-43.4509101132719</v>
      </c>
      <c r="C16" s="10" t="str">
        <f aca="false">IF(B16&gt;-50,"Strong",IF(B16&gt;-65,"Medium",IF(B16&gt;-80,"Weak","No Read")))</f>
        <v>Strong</v>
      </c>
      <c r="D16" s="10" t="str">
        <f aca="false">IF(A16&lt;=$B$7,"YES","NO")</f>
        <v>YES</v>
      </c>
    </row>
    <row r="17" customFormat="false" ht="15" hidden="false" customHeight="false" outlineLevel="0" collapsed="false">
      <c r="A17" s="27" t="n">
        <v>4</v>
      </c>
      <c r="B17" s="28" t="n">
        <f aca="false">$B$5-10*$B$6*LOG10(MAX(A17,0.3))</f>
        <v>-46.4494397918711</v>
      </c>
      <c r="C17" s="13" t="str">
        <f aca="false">IF(B17&gt;-50,"Strong",IF(B17&gt;-65,"Medium",IF(B17&gt;-80,"Weak","No Read")))</f>
        <v>Strong</v>
      </c>
      <c r="D17" s="13" t="str">
        <f aca="false">IF(A17&lt;=$B$7,"YES","NO")</f>
        <v>YES</v>
      </c>
    </row>
    <row r="18" customFormat="false" ht="15" hidden="false" customHeight="false" outlineLevel="0" collapsed="false">
      <c r="A18" s="29" t="n">
        <v>5</v>
      </c>
      <c r="B18" s="30" t="n">
        <f aca="false">$B$5-10*$B$6*LOG10(MAX(A18,0.3))</f>
        <v>-48.7752801040645</v>
      </c>
      <c r="C18" s="10" t="str">
        <f aca="false">IF(B18&gt;-50,"Strong",IF(B18&gt;-65,"Medium",IF(B18&gt;-80,"Weak","No Read")))</f>
        <v>Strong</v>
      </c>
      <c r="D18" s="10" t="str">
        <f aca="false">IF(A18&lt;=$B$7,"YES","NO")</f>
        <v>YES</v>
      </c>
    </row>
    <row r="19" customFormat="false" ht="15" hidden="false" customHeight="false" outlineLevel="0" collapsed="false">
      <c r="A19" s="27" t="n">
        <v>6</v>
      </c>
      <c r="B19" s="28" t="n">
        <f aca="false">$B$5-10*$B$6*LOG10(MAX(A19,0.3))</f>
        <v>-50.6756300092074</v>
      </c>
      <c r="C19" s="13" t="str">
        <f aca="false">IF(B19&gt;-50,"Strong",IF(B19&gt;-65,"Medium",IF(B19&gt;-80,"Weak","No Read")))</f>
        <v>Medium</v>
      </c>
      <c r="D19" s="13" t="str">
        <f aca="false">IF(A19&lt;=$B$7,"YES","NO")</f>
        <v>YES</v>
      </c>
    </row>
    <row r="20" customFormat="false" ht="15" hidden="false" customHeight="false" outlineLevel="0" collapsed="false">
      <c r="A20" s="29" t="n">
        <v>7</v>
      </c>
      <c r="B20" s="30" t="n">
        <f aca="false">$B$5-10*$B$6*LOG10(MAX(A20,0.3))</f>
        <v>-52.2823529603422</v>
      </c>
      <c r="C20" s="10" t="str">
        <f aca="false">IF(B20&gt;-50,"Strong",IF(B20&gt;-65,"Medium",IF(B20&gt;-80,"Weak","No Read")))</f>
        <v>Medium</v>
      </c>
      <c r="D20" s="10" t="str">
        <f aca="false">IF(A20&lt;=$B$7,"YES","NO")</f>
        <v>YES</v>
      </c>
    </row>
    <row r="21" customFormat="false" ht="15" hidden="false" customHeight="false" outlineLevel="0" collapsed="false">
      <c r="A21" s="27" t="n">
        <v>8</v>
      </c>
      <c r="B21" s="28" t="n">
        <f aca="false">$B$5-10*$B$6*LOG10(MAX(A21,0.3))</f>
        <v>-53.6741596878066</v>
      </c>
      <c r="C21" s="13" t="str">
        <f aca="false">IF(B21&gt;-50,"Strong",IF(B21&gt;-65,"Medium",IF(B21&gt;-80,"Weak","No Read")))</f>
        <v>Medium</v>
      </c>
      <c r="D21" s="13" t="str">
        <f aca="false">IF(A21&lt;=$B$7,"YES","NO")</f>
        <v>YES</v>
      </c>
    </row>
    <row r="22" customFormat="false" ht="15" hidden="false" customHeight="false" outlineLevel="0" collapsed="false">
      <c r="A22" s="29" t="n">
        <v>9</v>
      </c>
      <c r="B22" s="30" t="n">
        <f aca="false">$B$5-10*$B$6*LOG10(MAX(A22,0.3))</f>
        <v>-54.9018202265438</v>
      </c>
      <c r="C22" s="10" t="str">
        <f aca="false">IF(B22&gt;-50,"Strong",IF(B22&gt;-65,"Medium",IF(B22&gt;-80,"Weak","No Read")))</f>
        <v>Medium</v>
      </c>
      <c r="D22" s="10" t="str">
        <f aca="false">IF(A22&lt;=$B$7,"YES","NO")</f>
        <v>NO</v>
      </c>
    </row>
    <row r="23" customFormat="false" ht="15" hidden="false" customHeight="false" outlineLevel="0" collapsed="false">
      <c r="A23" s="27" t="n">
        <v>10</v>
      </c>
      <c r="B23" s="28" t="n">
        <f aca="false">$B$5-10*$B$6*LOG10(MAX(A23,0.3))</f>
        <v>-56</v>
      </c>
      <c r="C23" s="13" t="str">
        <f aca="false">IF(B23&gt;-50,"Strong",IF(B23&gt;-65,"Medium",IF(B23&gt;-80,"Weak","No Read")))</f>
        <v>Medium</v>
      </c>
      <c r="D23" s="13" t="str">
        <f aca="false">IF(A23&lt;=$B$7,"YES","NO")</f>
        <v>NO</v>
      </c>
    </row>
    <row r="26" customFormat="false" ht="15" hidden="false" customHeight="false" outlineLevel="0" collapsed="false">
      <c r="A26" s="3" t="s">
        <v>125</v>
      </c>
    </row>
    <row r="27" customFormat="false" ht="15" hidden="false" customHeight="false" outlineLevel="0" collapsed="false">
      <c r="A27" s="7" t="s">
        <v>126</v>
      </c>
      <c r="B27" s="26" t="n">
        <v>3</v>
      </c>
    </row>
    <row r="28" customFormat="false" ht="15" hidden="false" customHeight="false" outlineLevel="0" collapsed="false">
      <c r="A28" s="7" t="s">
        <v>127</v>
      </c>
      <c r="B28" s="31" t="n">
        <f aca="false">$B$5-10*$B$6*LOG10(MAX(B27,0.3))</f>
        <v>-43.4509101132719</v>
      </c>
    </row>
    <row r="29" customFormat="false" ht="15" hidden="false" customHeight="false" outlineLevel="0" collapsed="false">
      <c r="A29" s="7" t="s">
        <v>128</v>
      </c>
      <c r="B29" s="5" t="str">
        <f aca="false">IF(B28&gt;-50,"Strong",IF(B28&gt;-65,"Medium",IF(B28&gt;-80,"Weak","No Read")))</f>
        <v>Strong</v>
      </c>
    </row>
  </sheetData>
  <mergeCells count="2">
    <mergeCell ref="A1:E1"/>
    <mergeCell ref="A2:E2"/>
  </mergeCells>
  <conditionalFormatting sqref="B11:B23">
    <cfRule type="colorScale" priority="2">
      <colorScale>
        <cfvo type="num" val="-80"/>
        <cfvo type="num" val="-65"/>
        <cfvo type="num" val="-32"/>
        <color rgb="FFEF4444"/>
        <color rgb="FFFACC15"/>
        <color rgb="FF22C55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7"/>
    <col collapsed="false" customWidth="true" hidden="false" outlineLevel="0" max="12" min="12" style="0" width="11"/>
  </cols>
  <sheetData>
    <row r="1" customFormat="false" ht="21.75" hidden="false" customHeight="true" outlineLevel="0" collapsed="false">
      <c r="A1" s="8" t="s">
        <v>129</v>
      </c>
      <c r="B1" s="8" t="s">
        <v>130</v>
      </c>
      <c r="C1" s="8" t="s">
        <v>131</v>
      </c>
      <c r="D1" s="8" t="s">
        <v>132</v>
      </c>
      <c r="E1" s="8" t="s">
        <v>133</v>
      </c>
      <c r="F1" s="8" t="s">
        <v>134</v>
      </c>
      <c r="G1" s="8" t="s">
        <v>135</v>
      </c>
      <c r="H1" s="8" t="s">
        <v>136</v>
      </c>
      <c r="I1" s="8" t="s">
        <v>137</v>
      </c>
      <c r="J1" s="8" t="s">
        <v>138</v>
      </c>
      <c r="K1" s="8" t="s">
        <v>139</v>
      </c>
      <c r="L1" s="8" t="s">
        <v>140</v>
      </c>
      <c r="N1" s="32" t="s">
        <v>141</v>
      </c>
      <c r="O1" s="32"/>
      <c r="P1" s="32"/>
      <c r="Q1" s="32"/>
    </row>
    <row r="2" customFormat="false" ht="15" hidden="false" customHeight="false" outlineLevel="0" collapsed="false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4" t="s">
        <v>143</v>
      </c>
      <c r="O2" s="33" t="n">
        <f aca="false">COUNTA(C3:C10000)</f>
        <v>3</v>
      </c>
    </row>
    <row r="3" customFormat="false" ht="15" hidden="false" customHeight="false" outlineLevel="0" collapsed="false">
      <c r="A3" s="12" t="s">
        <v>144</v>
      </c>
      <c r="B3" s="12" t="s">
        <v>145</v>
      </c>
      <c r="C3" s="13" t="s">
        <v>146</v>
      </c>
      <c r="D3" s="12" t="s">
        <v>80</v>
      </c>
      <c r="E3" s="13" t="s">
        <v>106</v>
      </c>
      <c r="F3" s="13" t="s">
        <v>95</v>
      </c>
      <c r="G3" s="12" t="s">
        <v>47</v>
      </c>
      <c r="H3" s="12" t="s">
        <v>4</v>
      </c>
      <c r="I3" s="13" t="s">
        <v>42</v>
      </c>
      <c r="J3" s="13" t="s">
        <v>43</v>
      </c>
      <c r="K3" s="13" t="s">
        <v>46</v>
      </c>
      <c r="L3" s="27" t="n">
        <v>-38.2</v>
      </c>
      <c r="N3" s="4" t="s">
        <v>147</v>
      </c>
      <c r="O3" s="33" t="n">
        <f aca="false">COUNTIF(C:C,"READ")</f>
        <v>2</v>
      </c>
    </row>
    <row r="4" customFormat="false" ht="15" hidden="false" customHeight="false" outlineLevel="0" collapsed="false">
      <c r="A4" s="9" t="s">
        <v>148</v>
      </c>
      <c r="B4" s="9" t="s">
        <v>149</v>
      </c>
      <c r="C4" s="10" t="s">
        <v>146</v>
      </c>
      <c r="D4" s="9" t="s">
        <v>83</v>
      </c>
      <c r="E4" s="10" t="s">
        <v>106</v>
      </c>
      <c r="F4" s="10" t="s">
        <v>97</v>
      </c>
      <c r="G4" s="9" t="s">
        <v>53</v>
      </c>
      <c r="H4" s="9" t="s">
        <v>4</v>
      </c>
      <c r="I4" s="10" t="s">
        <v>48</v>
      </c>
      <c r="J4" s="10" t="s">
        <v>49</v>
      </c>
      <c r="K4" s="10" t="s">
        <v>52</v>
      </c>
      <c r="L4" s="29" t="n">
        <v>-41.7</v>
      </c>
      <c r="N4" s="4" t="s">
        <v>150</v>
      </c>
      <c r="O4" s="33" t="n">
        <f aca="false">COUNTIF(C:C,"ENTER")</f>
        <v>1</v>
      </c>
    </row>
    <row r="5" customFormat="false" ht="15" hidden="false" customHeight="false" outlineLevel="0" collapsed="false">
      <c r="A5" s="12" t="s">
        <v>151</v>
      </c>
      <c r="B5" s="12" t="s">
        <v>152</v>
      </c>
      <c r="C5" s="13" t="s">
        <v>153</v>
      </c>
      <c r="D5" s="12" t="s">
        <v>85</v>
      </c>
      <c r="E5" s="13" t="s">
        <v>111</v>
      </c>
      <c r="F5" s="13" t="s">
        <v>98</v>
      </c>
      <c r="G5" s="12" t="s">
        <v>59</v>
      </c>
      <c r="H5" s="12" t="s">
        <v>4</v>
      </c>
      <c r="I5" s="13" t="s">
        <v>54</v>
      </c>
      <c r="J5" s="13" t="s">
        <v>55</v>
      </c>
      <c r="K5" s="13" t="s">
        <v>58</v>
      </c>
      <c r="L5" s="27" t="n">
        <v>-45.1</v>
      </c>
      <c r="N5" s="4" t="s">
        <v>154</v>
      </c>
      <c r="O5" s="33" t="n">
        <f aca="false">COUNTIF(C:C,"EXIT")</f>
        <v>0</v>
      </c>
    </row>
    <row r="6" customFormat="false" ht="15" hidden="false" customHeight="false" outlineLevel="0" collapsed="false">
      <c r="N6" s="4" t="s">
        <v>155</v>
      </c>
      <c r="O6" s="33" t="n">
        <f aca="false">SUMPRODUCT((G3:G10000&lt;&gt;"")/COUNTIF(G3:G10000,G3:G10000&amp;""))</f>
        <v>3</v>
      </c>
    </row>
    <row r="7" customFormat="false" ht="15" hidden="false" customHeight="false" outlineLevel="0" collapsed="false">
      <c r="N7" s="4" t="s">
        <v>156</v>
      </c>
      <c r="O7" s="33" t="n">
        <f aca="false">IFERROR(AVERAGE(L3:L10000),"—")</f>
        <v>-41.6666666666667</v>
      </c>
    </row>
    <row r="8" customFormat="false" ht="15" hidden="false" customHeight="false" outlineLevel="0" collapsed="false">
      <c r="N8" s="4" t="s">
        <v>157</v>
      </c>
      <c r="O8" s="33" t="n">
        <f aca="false">IFERROR(MIN(L3:L10000),"—")</f>
        <v>-45.1</v>
      </c>
    </row>
    <row r="9" customFormat="false" ht="15" hidden="false" customHeight="false" outlineLevel="0" collapsed="false">
      <c r="N9" s="4" t="s">
        <v>158</v>
      </c>
      <c r="O9" s="33" t="n">
        <f aca="false">IFERROR(MAX(L3:L10000),"—")</f>
        <v>-38.2</v>
      </c>
    </row>
  </sheetData>
  <mergeCells count="2">
    <mergeCell ref="N1:Q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2026-05-15T20:53:43Z</dcterms:created>
  <dc:creator>openpyxl</dc:creator>
  <dc:description/>
  <dc:language>en-US</dc:language>
  <cp:lastModifiedBy/>
  <dcterms:modified xsi:type="dcterms:W3CDTF">2026-05-15T20:53:43Z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